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516bfe6a9fd6e2/Documents/GitHub/Bayesian-Calibration/RESULTS/Set of Results/"/>
    </mc:Choice>
  </mc:AlternateContent>
  <xr:revisionPtr revIDLastSave="1026" documentId="8_{71385775-E251-4D8C-B690-8B0A432958FC}" xr6:coauthVersionLast="47" xr6:coauthVersionMax="47" xr10:uidLastSave="{B0CB86D6-5213-4701-98CE-22D5D9DFF883}"/>
  <bookViews>
    <workbookView xWindow="-110" yWindow="-110" windowWidth="22780" windowHeight="14540" xr2:uid="{FF055712-6332-4194-B4B5-F98E7E810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K24" i="1"/>
  <c r="K22" i="1"/>
  <c r="K11" i="1"/>
  <c r="K37" i="1"/>
  <c r="K32" i="1"/>
  <c r="K23" i="1"/>
  <c r="K17" i="1"/>
  <c r="K10" i="1"/>
  <c r="K9" i="1"/>
</calcChain>
</file>

<file path=xl/sharedStrings.xml><?xml version="1.0" encoding="utf-8"?>
<sst xmlns="http://schemas.openxmlformats.org/spreadsheetml/2006/main" count="492" uniqueCount="244">
  <si>
    <t>ID</t>
  </si>
  <si>
    <t>PDE Family</t>
  </si>
  <si>
    <t>PDE Name</t>
  </si>
  <si>
    <t>Target Equation</t>
  </si>
  <si>
    <t>Target Canonical Form</t>
  </si>
  <si>
    <t>Binary Terms</t>
  </si>
  <si>
    <t>Continuous Targets</t>
  </si>
  <si>
    <t>Decoded Equation</t>
  </si>
  <si>
    <t xml:space="preserve">Binary Probabilities </t>
  </si>
  <si>
    <t xml:space="preserve">Continuous Coefficients </t>
  </si>
  <si>
    <t>Binary Error</t>
  </si>
  <si>
    <t>Loss</t>
  </si>
  <si>
    <t>Canonical Match</t>
  </si>
  <si>
    <t>Notes</t>
  </si>
  <si>
    <t>Yes</t>
  </si>
  <si>
    <t>No</t>
  </si>
  <si>
    <t xml:space="preserve">Parabolic </t>
  </si>
  <si>
    <t>Uxx = 1, Uyy = 1, Uzz = 1</t>
  </si>
  <si>
    <t>Present in Binary Form</t>
  </si>
  <si>
    <t>Present in Latent Space</t>
  </si>
  <si>
    <t>Elliptic</t>
  </si>
  <si>
    <t>Uxx + Uyy + Uzz</t>
  </si>
  <si>
    <t>-</t>
  </si>
  <si>
    <t>Uxx + Uyy + 0.99Uzz</t>
  </si>
  <si>
    <t>Uxx = 1.0 Uyy = 1.0 Uzz = 0.99</t>
  </si>
  <si>
    <t>Hyperbolic</t>
  </si>
  <si>
    <t>-Utt + Uxx + 0.998Uyy + 0.996Uzz</t>
  </si>
  <si>
    <t>Utt = -1.0 Uxx = 0.999 Uyy = 0.997 Uzz = 0.996</t>
  </si>
  <si>
    <t>First - Order Transport</t>
  </si>
  <si>
    <t>1D Advection</t>
  </si>
  <si>
    <t xml:space="preserve">Ut + Ux </t>
  </si>
  <si>
    <t>2D Advection</t>
  </si>
  <si>
    <t>Ut + Ux + Uy</t>
  </si>
  <si>
    <t>Ut + ∇U</t>
  </si>
  <si>
    <t>3D Advection</t>
  </si>
  <si>
    <t>Ut + Ux + Uy + Uz</t>
  </si>
  <si>
    <t>-Utt + Uxx + Uyy + Uzz</t>
  </si>
  <si>
    <t>First - Order Quasilinear Transport</t>
  </si>
  <si>
    <t>Nonlinear Transport</t>
  </si>
  <si>
    <r>
      <t>∇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U</t>
    </r>
  </si>
  <si>
    <r>
      <t>-Utt + ∇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U</t>
    </r>
  </si>
  <si>
    <t>Hamilton-Jacobi</t>
  </si>
  <si>
    <t>1D Heat Equation</t>
  </si>
  <si>
    <t>2D Heat Equation</t>
  </si>
  <si>
    <t>1D Convection Diffusion</t>
  </si>
  <si>
    <t>-Ut + Uxx + Uyy + Uzz</t>
  </si>
  <si>
    <t>-1.01Ut + 0.999Uxx + Uyy + 0.99Uzz</t>
  </si>
  <si>
    <t>Ut = -.1.01 Uxx = 0.996 Uyy = 0.998 Uzz = 1.0</t>
  </si>
  <si>
    <t>-Ut + Uxx</t>
  </si>
  <si>
    <r>
      <t>-Ut + ∇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U</t>
    </r>
  </si>
  <si>
    <t>U</t>
  </si>
  <si>
    <t xml:space="preserve">Ut = -1, Uxx = 1 </t>
  </si>
  <si>
    <t>Ut = -1, Uxx = 1, Uyy = 1, Uzz = 1</t>
  </si>
  <si>
    <t>-0.997Ut + 0.999Uxx</t>
  </si>
  <si>
    <t>Ut = -0.997 Uxx = 0.99982113</t>
  </si>
  <si>
    <t xml:space="preserve">-Ut + Uxx + Uyy  </t>
  </si>
  <si>
    <t xml:space="preserve">Ut = -1, Uxx = 1, Uyy = 1 </t>
  </si>
  <si>
    <t>-0.997Ut + 0.997Uxx + Uyy</t>
  </si>
  <si>
    <t>Ut = -0.997 Uxx = 0.997 Uyy = 1.0</t>
  </si>
  <si>
    <r>
      <t>-Ut + ∇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U + U</t>
    </r>
  </si>
  <si>
    <t>Ut = -1, Uxx = 1, Uyy =1, Uzz = 1</t>
  </si>
  <si>
    <t>-1.02Ut + 0.999Uxx + 0.998Uyy + 0.992Uzz  + U</t>
  </si>
  <si>
    <t>U = 0.99999845</t>
  </si>
  <si>
    <t>Ut = -1.02 Uxx = 0.997 Uyy = 0.998 Uzz = 0.999</t>
  </si>
  <si>
    <t>-Ut + Ux + Uxx</t>
  </si>
  <si>
    <r>
      <t>-Ut + ∇U + ∇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U</t>
    </r>
  </si>
  <si>
    <t>Ut = -1, Ux = 1, Uxx = 1</t>
  </si>
  <si>
    <t>-Ut - Ux + Uxx</t>
  </si>
  <si>
    <r>
      <t>-Ut - ∇U + ∇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U</t>
    </r>
  </si>
  <si>
    <t>Ut = -1, Ux = -1, Uxx = 1</t>
  </si>
  <si>
    <t>-Ut + 0.997Ux + Uxx</t>
  </si>
  <si>
    <t>Ut = -1 Uxx = 0.999 Ux 0.997</t>
  </si>
  <si>
    <t>-0.993Ut - 0.997Ux + 0.995Uxx</t>
  </si>
  <si>
    <t>Ut = -0.993 Ux = -0.997 Uxx = 0.995</t>
  </si>
  <si>
    <t>Ut = 1, Ux = 1</t>
  </si>
  <si>
    <t>0.992Ut + 0.999Ux</t>
  </si>
  <si>
    <t>Ut = 0.992 Ux = 0.9988</t>
  </si>
  <si>
    <t>Ut = 1, Ux = 1, Uy = 1</t>
  </si>
  <si>
    <t>0.996Ut + 0.993Ux + 0.992Uy</t>
  </si>
  <si>
    <t>Ut = 0.996 Ux = 0.993 Uy = 0.992</t>
  </si>
  <si>
    <t>Ut = 1, Ux = 1, Uy = 1, Uz = 1</t>
  </si>
  <si>
    <t>0.982Ut + 0.996Ux + 0.999Uy + 0.999Uz</t>
  </si>
  <si>
    <t>Ut = 0.982 Ux = 0.996 Uy = 0.999 Uz = 0.999</t>
  </si>
  <si>
    <t>UUx</t>
  </si>
  <si>
    <r>
      <rPr>
        <b/>
        <sz val="11"/>
        <color theme="1"/>
        <rFont val="Aptos Narrow"/>
        <family val="2"/>
        <scheme val="minor"/>
      </rPr>
      <t>a(x,t,U)Ux + b(x,t,U)Ut = c(x,t,U)</t>
    </r>
    <r>
      <rPr>
        <sz val="11"/>
        <color theme="1"/>
        <rFont val="Aptos Narrow"/>
        <family val="2"/>
        <scheme val="minor"/>
      </rPr>
      <t xml:space="preserve"> where a = 1+U, b =1 and c = 0</t>
    </r>
  </si>
  <si>
    <t>Ut + Ux + UUx</t>
  </si>
  <si>
    <t>0.998Ut + 0.998Ux + UUx</t>
  </si>
  <si>
    <t>UUx = 0.99982184</t>
  </si>
  <si>
    <t>Ut = 0.998 Ux = 0.998</t>
  </si>
  <si>
    <r>
      <rPr>
        <b/>
        <sz val="11"/>
        <color theme="1"/>
        <rFont val="Aptos Narrow"/>
        <family val="2"/>
        <scheme val="minor"/>
      </rPr>
      <t>Ut + H(Ux)</t>
    </r>
    <r>
      <rPr>
        <sz val="11"/>
        <color theme="1"/>
        <rFont val="Aptos Narrow"/>
        <family val="2"/>
        <scheme val="minor"/>
      </rPr>
      <t>, H(p) = p + p</t>
    </r>
    <r>
      <rPr>
        <vertAlign val="superscript"/>
        <sz val="11"/>
        <color theme="1"/>
        <rFont val="Aptos Narrow"/>
        <family val="2"/>
        <scheme val="minor"/>
      </rPr>
      <t>2</t>
    </r>
  </si>
  <si>
    <t>UxUx</t>
  </si>
  <si>
    <t>Ut + Ux + UxUx</t>
  </si>
  <si>
    <t>0.995Ut + 0.998Ux + UxUx</t>
  </si>
  <si>
    <t>UxUx = 0.99962366</t>
  </si>
  <si>
    <t>Ut = 0.995 Ux = 0.998</t>
  </si>
  <si>
    <t>First - Order Nonlinear Transport</t>
  </si>
  <si>
    <t>3D Convection Diffusion</t>
  </si>
  <si>
    <t>Ut = -1, Ux = -1, Uy = -1, Uz = -1, Uxx = 1, Uyy = 1, Uzz = 1</t>
  </si>
  <si>
    <t>-Ut - Ux - Uy - Uz + Uxx + Uyy + Uzz</t>
  </si>
  <si>
    <t>-1.03Ut - 0.994Ux - 0.99Uy - 0.998Uz + 0.992Uxx + 0.99Uyy + 0.97Uzz</t>
  </si>
  <si>
    <t>Ut = -1.03 Ux = -0.94 Uy = -0.99 Uz = -0.998 Uxx = 0.992 Uyy = 0.99 Uzz = 0.97</t>
  </si>
  <si>
    <t>Helmholtz Equation</t>
  </si>
  <si>
    <t>Uxx + Uyy + Uzz + U</t>
  </si>
  <si>
    <r>
      <t>∇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U + U</t>
    </r>
  </si>
  <si>
    <t>Uxx + Uyy + 0.995Uzz + U</t>
  </si>
  <si>
    <t>U = 1.0</t>
  </si>
  <si>
    <t>Uxx = 1.0 Uyy = 1.0 Uzz = 0.995</t>
  </si>
  <si>
    <t>Uxx + Uyy + Uzz + 0.05Uxy</t>
  </si>
  <si>
    <t>Uxx = 1, Uyy = 1, Uzz = 1, Uxy = 0.05</t>
  </si>
  <si>
    <r>
      <t>∇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U, Rotated</t>
    </r>
  </si>
  <si>
    <t>Linear Second - Order Elliptic w/ Mixed Derivatives</t>
  </si>
  <si>
    <t>Uxx + Uyy + 0.995Uzz + 0.0595Uxy</t>
  </si>
  <si>
    <t>Uxx = 1.0 Uyy = 1.0 Uzz = 0.995 Uxy = 0.0595</t>
  </si>
  <si>
    <t>1D Wave Equation</t>
  </si>
  <si>
    <t>-Utt + Uxx</t>
  </si>
  <si>
    <t>Utt = -1, Uxx = 1</t>
  </si>
  <si>
    <r>
      <t>Note that this VAE cannot express Poisson's Equation as U is an unknown function, whereas Poisson's requires f(x), a known one. Poisson's Equation Canonical =&gt; ∇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U - F(x)</t>
    </r>
  </si>
  <si>
    <t>-0.997Utt + Uxx</t>
  </si>
  <si>
    <t>Utt = -0.997 Uxx = 1</t>
  </si>
  <si>
    <t>2D Wave Equation</t>
  </si>
  <si>
    <t>-Utt + Uxx + Uyy</t>
  </si>
  <si>
    <t>Utt = -1, Uxx = 1, Uyy  = 1</t>
  </si>
  <si>
    <t>-0.998Utt + 0.998Uxx + 0.999Uyy</t>
  </si>
  <si>
    <t>Utt = -0.998 Uxx = 0.998 Uyy = 0.999</t>
  </si>
  <si>
    <r>
      <t>Klein-Gordon Equation, for a Tachyonic Mass (m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&lt; 0)</t>
    </r>
  </si>
  <si>
    <t>-Utt + Uxx + Uyy + Uzz + U</t>
  </si>
  <si>
    <r>
      <t>-Utt + ∇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U + U</t>
    </r>
  </si>
  <si>
    <t>Utt = -1, Uxx = 1, Uyy  = 1, Uzz = 1</t>
  </si>
  <si>
    <t>-Utt + 0.996Uxx + 0.999Uyy + 0.994Uzz + U</t>
  </si>
  <si>
    <t>U = 0.99998307</t>
  </si>
  <si>
    <t>Utt = -1.0 Uxx = 0.996 Uyy = 0.999 Uzz = 0.994</t>
  </si>
  <si>
    <t>This is the Klein-Gordon Equation but with a Tachyonic Mass. It is used in Quantum Physics for things such as Higgs Mechanism or Symmetry Breaking in Quantum Field Theory</t>
  </si>
  <si>
    <t>Telegraph Equation - 3D</t>
  </si>
  <si>
    <t>-Utt - Ut + Uxx + Uyy + Uzz</t>
  </si>
  <si>
    <r>
      <t>-Utt - Ut + ∇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U</t>
    </r>
  </si>
  <si>
    <t>Utt = -1, Ut = -1, Uxx = 1, Uyy = 1, Uzz = 1</t>
  </si>
  <si>
    <t>-0.742Utt + 0.0173Uy  + 0.997Uxx + 0.995Uyy + 1.03Uzz</t>
  </si>
  <si>
    <t>Utt = -0.742 Ut = 0.0 Uxx = 0.997 Uyy = 0.995 Uzz = 1.03</t>
  </si>
  <si>
    <t>Ut = -1, Uxx = 1</t>
  </si>
  <si>
    <t>-Ut +Uxx + UUx</t>
  </si>
  <si>
    <t>Ut + UUx - Uxx</t>
  </si>
  <si>
    <t>-Ut + UUx + Uxx</t>
  </si>
  <si>
    <t>UUx = 0.7991</t>
  </si>
  <si>
    <t>Ut = -1 Uxx = 1.0</t>
  </si>
  <si>
    <t>1D Burgers Equation - Sign Changed</t>
  </si>
  <si>
    <t>Actual Canonical form of Burgers Equation is: Ut - Uux = Uxx. This is the equation we have multiplied by 1 and rearranged</t>
  </si>
  <si>
    <t>First - Order Steady Transport</t>
  </si>
  <si>
    <t>Steady - State 2D Transport Equation</t>
  </si>
  <si>
    <t>Ux + Uy</t>
  </si>
  <si>
    <t>Ut + ∇U, Ut = 0</t>
  </si>
  <si>
    <t>Ux = 1.0, Uy = 1.0</t>
  </si>
  <si>
    <t>0.995Ux + 0.996Uy</t>
  </si>
  <si>
    <t>Ux = 0.995 Uy = 0.996</t>
  </si>
  <si>
    <t>Nonlinear Reaction-Diffusion</t>
  </si>
  <si>
    <t>Could be a Fisher - KPP equation if nonlinear term could have a negative coefficient</t>
  </si>
  <si>
    <t>-Ut + Uxx + Uyy + Uzz + U + UU</t>
  </si>
  <si>
    <t>U, UU</t>
  </si>
  <si>
    <t>Ut = -1, Uxx = 1, Uyy = 1, Uzz =1</t>
  </si>
  <si>
    <t>-1.01Ut + 0.997Uxx + Uyy + 0.991Uzz + U + UU</t>
  </si>
  <si>
    <t>U = 0.99999297, UU = 0.98742592</t>
  </si>
  <si>
    <t>Ut = -1.01 Uxx = 0.997 Uyy = 1 Uzz = 0.991</t>
  </si>
  <si>
    <r>
      <t>-Ut + ∇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U + U + U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</si>
  <si>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Steady - State 3D Transport Equation</t>
  </si>
  <si>
    <t>Ux + Uy + Uz</t>
  </si>
  <si>
    <t>Ux = 1.0, Uy = 1.0, Uz = 1.0</t>
  </si>
  <si>
    <t>0.995Ux + 0.995Uy + Uz</t>
  </si>
  <si>
    <t>Ux = 0.995 Uy = 0.995 Uz = 1.0</t>
  </si>
  <si>
    <t xml:space="preserve">Ut - Ux </t>
  </si>
  <si>
    <t>Ut - ∇U</t>
  </si>
  <si>
    <t>Ut = 1, Ux = -1</t>
  </si>
  <si>
    <t>0.994Ut - Ux</t>
  </si>
  <si>
    <t>Ut = 0.994 Ux = -1.0</t>
  </si>
  <si>
    <t>2D Transport Equation</t>
  </si>
  <si>
    <t>Ut + Ux + 0.5Uy</t>
  </si>
  <si>
    <t>Ut + Ux + cUy, c = 0.5</t>
  </si>
  <si>
    <t>Ut = 1.0, Ux = 1.0, Uy = 0.5</t>
  </si>
  <si>
    <t>0.99Ut + 0.995Ux + 0.497Uy</t>
  </si>
  <si>
    <t>Ut = 0.99 Ux = 0.995 Uy = 0.497</t>
  </si>
  <si>
    <t>2D Hamilton-Jacobi</t>
  </si>
  <si>
    <t>Ut + Ux + Uy + UxUx</t>
  </si>
  <si>
    <r>
      <rPr>
        <b/>
        <sz val="11"/>
        <color theme="1"/>
        <rFont val="Aptos Narrow"/>
        <family val="2"/>
        <scheme val="minor"/>
      </rPr>
      <t>Ut + Uy + H(Ux)</t>
    </r>
    <r>
      <rPr>
        <sz val="11"/>
        <color theme="1"/>
        <rFont val="Aptos Narrow"/>
        <family val="2"/>
        <scheme val="minor"/>
      </rPr>
      <t>, H(p) = p + p</t>
    </r>
    <r>
      <rPr>
        <vertAlign val="superscript"/>
        <sz val="11"/>
        <color theme="1"/>
        <rFont val="Aptos Narrow"/>
        <family val="2"/>
        <scheme val="minor"/>
      </rPr>
      <t>2</t>
    </r>
  </si>
  <si>
    <t>0.993Ut + 0.994Ux + 0.993Uy + UxUx</t>
  </si>
  <si>
    <t>UxUx = 0.99812037</t>
  </si>
  <si>
    <t xml:space="preserve">Ut = 0.993 Ux = 0.994 Uy = 0.993  </t>
  </si>
  <si>
    <t xml:space="preserve">3D Heat Equation </t>
  </si>
  <si>
    <t>Anisotropic 2D Heat</t>
  </si>
  <si>
    <t>-Ut + Uxx + 0.5Uyy</t>
  </si>
  <si>
    <t>Anisotropic 3D Heat</t>
  </si>
  <si>
    <t>Ut = -1, Uxx = 1, Uyy = 0.5</t>
  </si>
  <si>
    <t>Ut = -1, Uxx = 1, Uyy = 0.5, Uzz = 0.7</t>
  </si>
  <si>
    <t>-Ut + Uxx + 0.5Uyy + 7Uzz</t>
  </si>
  <si>
    <t>-0.996Ut + 0.999Uxx + 0.498Uyy</t>
  </si>
  <si>
    <t>Ut = -0.996 Uxx = 0.999 Uyy = 0.498</t>
  </si>
  <si>
    <t>-1.02Ut + 0.993Uxx + 0.504Uyy + 0.696Uzz</t>
  </si>
  <si>
    <t>Ut = -1.02 Uxx = 0.993 Uyy = 0.504 Uzz = 0.696</t>
  </si>
  <si>
    <t>2D Convection Diffusion</t>
  </si>
  <si>
    <t>-Ut + Ux + Uy + Uxx + Uyy</t>
  </si>
  <si>
    <t>Ut = -1, Ux = 1, Uy = 1, Uxx = 1, Uyy = 1</t>
  </si>
  <si>
    <t>-Ut - Ux + 0.998Uy + 0.978Uxx + 0.998Uyy</t>
  </si>
  <si>
    <t>Ut = -1.0 Ux = 1.0 Uy = 0.998 Uxx = 0.987 Uyy = 0.998</t>
  </si>
  <si>
    <t>-Ut + Uxx + U</t>
  </si>
  <si>
    <t xml:space="preserve"> 1D Diffusion + Reaction</t>
  </si>
  <si>
    <t>3D Diffusion + Reaction</t>
  </si>
  <si>
    <t>-Ut + Uxx + Uyy + Uzz + U</t>
  </si>
  <si>
    <t>-0.99Ut + 0.999Uxx + U</t>
  </si>
  <si>
    <t>U = 0.99898916</t>
  </si>
  <si>
    <t>Ut = -0.99 Uxx = 0.999</t>
  </si>
  <si>
    <t>1D Laplace</t>
  </si>
  <si>
    <t>2D Laplace</t>
  </si>
  <si>
    <t>3D Laplace</t>
  </si>
  <si>
    <t xml:space="preserve">Uxx </t>
  </si>
  <si>
    <t>Uxx + Uyy</t>
  </si>
  <si>
    <t>Uxx + Uzz</t>
  </si>
  <si>
    <t>Uxx = 1</t>
  </si>
  <si>
    <t>Uxx = 1, Uyy = 1</t>
  </si>
  <si>
    <t>Uxx = 1, Uzz = 1</t>
  </si>
  <si>
    <t>0.999Uxx</t>
  </si>
  <si>
    <t>Uxx = 0.999</t>
  </si>
  <si>
    <t>0.998Uxx + Uyy</t>
  </si>
  <si>
    <t xml:space="preserve">Uxx = 0.998 Uyy = 1.0 </t>
  </si>
  <si>
    <t>Uxx = 1.0 Uzz = 1.0</t>
  </si>
  <si>
    <t>3D Wave Equation</t>
  </si>
  <si>
    <t>3D Anisotropic Laplace</t>
  </si>
  <si>
    <t>Uxx + 0.5Uyy + 0.25Uzz</t>
  </si>
  <si>
    <r>
      <t>c∇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U, c = constant</t>
    </r>
  </si>
  <si>
    <t>Uxx = 1, Uyy = 0.5, Uzz 0.25</t>
  </si>
  <si>
    <t>Uxx + 0.499Uyy + 0.265Uzz</t>
  </si>
  <si>
    <t>Uxx = 1.0 Uyy = 0.499 Uzz = 0.265</t>
  </si>
  <si>
    <t>Can't have Utt and Ut terms on at the same time</t>
  </si>
  <si>
    <t>2D Burgers Equation - Sign Changed</t>
  </si>
  <si>
    <t>3D Burgers Equation - Sign Changed</t>
  </si>
  <si>
    <t>-Ut +UUx + UUy + Uxx + Uyy</t>
  </si>
  <si>
    <t>Ut + UUx + UUy - Uxx - Uyy</t>
  </si>
  <si>
    <t xml:space="preserve">UUx, UUy </t>
  </si>
  <si>
    <t>Ut = -1, Uxx = 1, Uyy = 1</t>
  </si>
  <si>
    <t>-0.987Ut +0.159Uy + 0.975Uxx + 0.96Uyy</t>
  </si>
  <si>
    <t>UUx = 0, UUy = 0.004</t>
  </si>
  <si>
    <t>Ut = -0.987 Uxx = 0.975 Uyy = 0.96</t>
  </si>
  <si>
    <t>-Ut +UUx + UUy + UUz + Uxx + Uyy + Uzz</t>
  </si>
  <si>
    <t>UUx, UUy, UUz</t>
  </si>
  <si>
    <t>-1.03Ut + 0.234Uy +0.937Uxx + 0.95Uyy + 0.915Uzz</t>
  </si>
  <si>
    <t>UUx = 0, UUy = 0, UUz = 0</t>
  </si>
  <si>
    <t>Ut = -1.03 Uxx = 0.937 Uyy = 0.95 Uzz 0.915</t>
  </si>
  <si>
    <t>UUx = 1 UUy = 1 UUz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</si>
</sst>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E162-1D7B-4753-8EBC-C98C06C9C612}">
  <dimension ref="A1:P92"/>
  <sheetViews>
    <sheetView tabSelected="1" zoomScale="80" zoomScaleNormal="80" workbookViewId="0">
      <selection activeCell="L26" sqref="L26"/>
    </sheetView>
  </sheetViews>
  <sheetFormatPr defaultRowHeight="14.5" x14ac:dyDescent="0.35"/>
  <cols>
    <col min="2" max="2" width="10.81640625" customWidth="1"/>
    <col min="3" max="3" width="23.7265625" customWidth="1"/>
    <col min="4" max="4" width="14.1796875" bestFit="1" customWidth="1"/>
    <col min="5" max="5" width="27.6328125" customWidth="1"/>
    <col min="6" max="6" width="11.36328125" customWidth="1"/>
    <col min="7" max="7" width="24.453125" customWidth="1"/>
    <col min="8" max="8" width="19.1796875" customWidth="1"/>
    <col min="9" max="9" width="17.6328125" bestFit="1" customWidth="1"/>
    <col min="10" max="10" width="25.36328125" customWidth="1"/>
    <col min="11" max="11" width="12.08984375" customWidth="1"/>
    <col min="13" max="13" width="15" bestFit="1" customWidth="1"/>
    <col min="14" max="14" width="13.1796875" customWidth="1"/>
    <col min="15" max="15" width="10.81640625" customWidth="1"/>
    <col min="16" max="16" width="36.90625" customWidth="1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18</v>
      </c>
      <c r="O1" s="4" t="s">
        <v>19</v>
      </c>
      <c r="P1" s="1" t="s">
        <v>13</v>
      </c>
    </row>
    <row r="2" spans="1:16" ht="29" x14ac:dyDescent="0.35">
      <c r="A2" s="2">
        <v>1</v>
      </c>
      <c r="B2" s="3" t="s">
        <v>28</v>
      </c>
      <c r="C2" s="3" t="s">
        <v>29</v>
      </c>
      <c r="D2" s="2" t="s">
        <v>30</v>
      </c>
      <c r="E2" s="7" t="s">
        <v>33</v>
      </c>
      <c r="F2" s="2" t="s">
        <v>22</v>
      </c>
      <c r="G2" s="2" t="s">
        <v>74</v>
      </c>
      <c r="H2" s="2" t="s">
        <v>75</v>
      </c>
      <c r="I2" s="2" t="s">
        <v>22</v>
      </c>
      <c r="J2" s="2" t="s">
        <v>76</v>
      </c>
      <c r="K2" s="10" t="s">
        <v>22</v>
      </c>
      <c r="L2" s="2">
        <v>3.5999999999999997E-2</v>
      </c>
      <c r="M2" s="2" t="s">
        <v>14</v>
      </c>
      <c r="N2" s="2" t="s">
        <v>14</v>
      </c>
      <c r="O2" s="2" t="s">
        <v>14</v>
      </c>
      <c r="P2" s="2"/>
    </row>
    <row r="3" spans="1:16" ht="29" x14ac:dyDescent="0.35">
      <c r="A3" s="2">
        <v>2</v>
      </c>
      <c r="B3" s="3" t="s">
        <v>28</v>
      </c>
      <c r="C3" s="3" t="s">
        <v>31</v>
      </c>
      <c r="D3" s="2" t="s">
        <v>32</v>
      </c>
      <c r="E3" s="7" t="s">
        <v>33</v>
      </c>
      <c r="F3" s="2" t="s">
        <v>22</v>
      </c>
      <c r="G3" s="2" t="s">
        <v>77</v>
      </c>
      <c r="H3" s="3" t="s">
        <v>78</v>
      </c>
      <c r="I3" s="2" t="s">
        <v>22</v>
      </c>
      <c r="J3" s="3" t="s">
        <v>79</v>
      </c>
      <c r="K3" s="10" t="s">
        <v>22</v>
      </c>
      <c r="L3" s="2">
        <v>6.2E-2</v>
      </c>
      <c r="M3" s="2" t="s">
        <v>14</v>
      </c>
      <c r="N3" s="2" t="s">
        <v>14</v>
      </c>
      <c r="O3" s="2" t="s">
        <v>14</v>
      </c>
      <c r="P3" s="2"/>
    </row>
    <row r="4" spans="1:16" ht="29" x14ac:dyDescent="0.35">
      <c r="A4" s="2">
        <v>3</v>
      </c>
      <c r="B4" s="3" t="s">
        <v>28</v>
      </c>
      <c r="C4" s="3" t="s">
        <v>34</v>
      </c>
      <c r="D4" s="3" t="s">
        <v>35</v>
      </c>
      <c r="E4" s="7" t="s">
        <v>33</v>
      </c>
      <c r="F4" s="2" t="s">
        <v>22</v>
      </c>
      <c r="G4" s="3" t="s">
        <v>80</v>
      </c>
      <c r="H4" s="3" t="s">
        <v>81</v>
      </c>
      <c r="I4" s="2" t="s">
        <v>22</v>
      </c>
      <c r="J4" s="3" t="s">
        <v>82</v>
      </c>
      <c r="K4" s="2" t="s">
        <v>22</v>
      </c>
      <c r="L4" s="2">
        <v>4.9799999999999997E-2</v>
      </c>
      <c r="M4" s="2" t="s">
        <v>14</v>
      </c>
      <c r="N4" s="2" t="s">
        <v>14</v>
      </c>
      <c r="O4" s="2" t="s">
        <v>14</v>
      </c>
      <c r="P4" s="2"/>
    </row>
    <row r="5" spans="1:16" ht="29" x14ac:dyDescent="0.35">
      <c r="A5" s="2">
        <v>4</v>
      </c>
      <c r="B5" s="3" t="s">
        <v>28</v>
      </c>
      <c r="C5" s="3" t="s">
        <v>29</v>
      </c>
      <c r="D5" s="2" t="s">
        <v>167</v>
      </c>
      <c r="E5" s="7" t="s">
        <v>168</v>
      </c>
      <c r="F5" s="2" t="s">
        <v>22</v>
      </c>
      <c r="G5" s="2" t="s">
        <v>169</v>
      </c>
      <c r="H5" s="2" t="s">
        <v>170</v>
      </c>
      <c r="I5" s="2" t="s">
        <v>22</v>
      </c>
      <c r="J5" s="2" t="s">
        <v>171</v>
      </c>
      <c r="K5" s="10" t="s">
        <v>22</v>
      </c>
      <c r="L5" s="2">
        <v>3.1E-2</v>
      </c>
      <c r="M5" s="2" t="s">
        <v>14</v>
      </c>
      <c r="N5" s="2" t="s">
        <v>14</v>
      </c>
      <c r="O5" s="2" t="s">
        <v>14</v>
      </c>
      <c r="P5" s="2"/>
    </row>
    <row r="6" spans="1:16" ht="43.5" x14ac:dyDescent="0.35">
      <c r="A6" s="2">
        <v>5</v>
      </c>
      <c r="B6" s="3" t="s">
        <v>146</v>
      </c>
      <c r="C6" s="3" t="s">
        <v>147</v>
      </c>
      <c r="D6" s="2" t="s">
        <v>148</v>
      </c>
      <c r="E6" s="7" t="s">
        <v>149</v>
      </c>
      <c r="F6" s="2" t="s">
        <v>22</v>
      </c>
      <c r="G6" s="2" t="s">
        <v>150</v>
      </c>
      <c r="H6" s="2" t="s">
        <v>151</v>
      </c>
      <c r="I6" s="2" t="s">
        <v>22</v>
      </c>
      <c r="J6" s="2" t="s">
        <v>152</v>
      </c>
      <c r="K6" s="2" t="s">
        <v>22</v>
      </c>
      <c r="L6" s="2">
        <v>4.4999999999999998E-2</v>
      </c>
      <c r="M6" s="2" t="s">
        <v>14</v>
      </c>
      <c r="N6" s="2" t="s">
        <v>14</v>
      </c>
      <c r="O6" s="2" t="s">
        <v>14</v>
      </c>
      <c r="P6" s="2"/>
    </row>
    <row r="7" spans="1:16" ht="29" x14ac:dyDescent="0.35">
      <c r="A7" s="2">
        <v>6</v>
      </c>
      <c r="B7" s="3" t="s">
        <v>28</v>
      </c>
      <c r="C7" s="3" t="s">
        <v>172</v>
      </c>
      <c r="D7" s="2" t="s">
        <v>173</v>
      </c>
      <c r="E7" s="7" t="s">
        <v>174</v>
      </c>
      <c r="F7" s="2" t="s">
        <v>22</v>
      </c>
      <c r="G7" s="3" t="s">
        <v>175</v>
      </c>
      <c r="H7" s="3" t="s">
        <v>176</v>
      </c>
      <c r="I7" s="2" t="s">
        <v>22</v>
      </c>
      <c r="J7" s="3" t="s">
        <v>177</v>
      </c>
      <c r="K7" s="2" t="s">
        <v>22</v>
      </c>
      <c r="L7" s="2">
        <v>4.4999999999999998E-2</v>
      </c>
      <c r="M7" s="2" t="s">
        <v>14</v>
      </c>
      <c r="N7" s="2" t="s">
        <v>14</v>
      </c>
      <c r="O7" s="2" t="s">
        <v>14</v>
      </c>
      <c r="P7" s="2"/>
    </row>
    <row r="8" spans="1:16" ht="43.5" x14ac:dyDescent="0.35">
      <c r="A8" s="2">
        <v>7</v>
      </c>
      <c r="B8" s="3" t="s">
        <v>146</v>
      </c>
      <c r="C8" s="3" t="s">
        <v>162</v>
      </c>
      <c r="D8" s="2" t="s">
        <v>163</v>
      </c>
      <c r="E8" s="7" t="s">
        <v>149</v>
      </c>
      <c r="F8" s="2" t="s">
        <v>22</v>
      </c>
      <c r="G8" s="3" t="s">
        <v>164</v>
      </c>
      <c r="H8" s="3" t="s">
        <v>165</v>
      </c>
      <c r="I8" s="2" t="s">
        <v>22</v>
      </c>
      <c r="J8" s="2" t="s">
        <v>166</v>
      </c>
      <c r="K8" s="2" t="s">
        <v>22</v>
      </c>
      <c r="L8" s="2">
        <v>3.7999999999999999E-2</v>
      </c>
      <c r="M8" s="2" t="s">
        <v>14</v>
      </c>
      <c r="N8" s="2" t="s">
        <v>14</v>
      </c>
      <c r="O8" s="2" t="s">
        <v>14</v>
      </c>
      <c r="P8" s="2"/>
    </row>
    <row r="9" spans="1:16" ht="43.5" x14ac:dyDescent="0.35">
      <c r="A9" s="2">
        <v>8</v>
      </c>
      <c r="B9" s="3" t="s">
        <v>37</v>
      </c>
      <c r="C9" s="3" t="s">
        <v>38</v>
      </c>
      <c r="D9" s="2" t="s">
        <v>85</v>
      </c>
      <c r="E9" s="3" t="s">
        <v>84</v>
      </c>
      <c r="F9" s="2" t="s">
        <v>83</v>
      </c>
      <c r="G9" s="2" t="s">
        <v>74</v>
      </c>
      <c r="H9" s="3" t="s">
        <v>86</v>
      </c>
      <c r="I9" s="3" t="s">
        <v>87</v>
      </c>
      <c r="J9" s="2" t="s">
        <v>88</v>
      </c>
      <c r="K9" s="9" t="str">
        <f>" UUx = " &amp; ROUND(1-0.99982184,4)</f>
        <v xml:space="preserve"> UUx = 0.0002</v>
      </c>
      <c r="L9" s="2">
        <v>2.4E-2</v>
      </c>
      <c r="M9" s="2" t="s">
        <v>14</v>
      </c>
      <c r="N9" s="2" t="s">
        <v>15</v>
      </c>
      <c r="O9" s="2" t="s">
        <v>14</v>
      </c>
      <c r="P9" s="2"/>
    </row>
    <row r="10" spans="1:16" ht="43.5" x14ac:dyDescent="0.35">
      <c r="A10" s="2">
        <v>9</v>
      </c>
      <c r="B10" s="3" t="s">
        <v>95</v>
      </c>
      <c r="C10" s="3" t="s">
        <v>41</v>
      </c>
      <c r="D10" s="3" t="s">
        <v>91</v>
      </c>
      <c r="E10" s="3" t="s">
        <v>89</v>
      </c>
      <c r="F10" s="2" t="s">
        <v>90</v>
      </c>
      <c r="G10" s="2" t="s">
        <v>74</v>
      </c>
      <c r="H10" s="3" t="s">
        <v>92</v>
      </c>
      <c r="I10" s="3" t="s">
        <v>93</v>
      </c>
      <c r="J10" s="2" t="s">
        <v>94</v>
      </c>
      <c r="K10" s="3" t="str">
        <f>" UUx = " &amp; ROUND(1-0.99962366,5)</f>
        <v xml:space="preserve"> UUx = 0.00038</v>
      </c>
      <c r="L10" s="2">
        <v>3.5999999999999997E-2</v>
      </c>
      <c r="M10" s="2" t="s">
        <v>14</v>
      </c>
      <c r="N10" s="2" t="s">
        <v>14</v>
      </c>
      <c r="O10" s="2" t="s">
        <v>14</v>
      </c>
      <c r="P10" s="2"/>
    </row>
    <row r="11" spans="1:16" ht="43.5" x14ac:dyDescent="0.35">
      <c r="A11" s="2">
        <v>10</v>
      </c>
      <c r="B11" s="3" t="s">
        <v>95</v>
      </c>
      <c r="C11" s="3" t="s">
        <v>178</v>
      </c>
      <c r="D11" s="3" t="s">
        <v>179</v>
      </c>
      <c r="E11" s="3" t="s">
        <v>180</v>
      </c>
      <c r="F11" s="2" t="s">
        <v>90</v>
      </c>
      <c r="G11" s="2" t="s">
        <v>77</v>
      </c>
      <c r="H11" s="3" t="s">
        <v>181</v>
      </c>
      <c r="I11" s="3" t="s">
        <v>182</v>
      </c>
      <c r="J11" s="2" t="s">
        <v>183</v>
      </c>
      <c r="K11" s="3" t="str">
        <f>" UUx = " &amp; ROUND(1-0.99812037,5)</f>
        <v xml:space="preserve"> UUx = 0.00188</v>
      </c>
      <c r="L11" s="2">
        <v>6.0999999999999999E-2</v>
      </c>
      <c r="M11" s="2" t="s">
        <v>14</v>
      </c>
      <c r="N11" s="2" t="s">
        <v>14</v>
      </c>
      <c r="O11" s="2" t="s">
        <v>14</v>
      </c>
      <c r="P11" s="2"/>
    </row>
    <row r="12" spans="1:16" ht="16.5" x14ac:dyDescent="0.35">
      <c r="A12" s="2">
        <v>11</v>
      </c>
      <c r="B12" s="2" t="s">
        <v>16</v>
      </c>
      <c r="C12" s="3" t="s">
        <v>42</v>
      </c>
      <c r="D12" s="11" t="s">
        <v>48</v>
      </c>
      <c r="E12" s="8" t="s">
        <v>49</v>
      </c>
      <c r="F12" s="2" t="s">
        <v>22</v>
      </c>
      <c r="G12" s="2" t="s">
        <v>51</v>
      </c>
      <c r="H12" s="11" t="s">
        <v>53</v>
      </c>
      <c r="I12" s="2" t="s">
        <v>22</v>
      </c>
      <c r="J12" s="3" t="s">
        <v>54</v>
      </c>
      <c r="K12" s="10" t="s">
        <v>22</v>
      </c>
      <c r="L12" s="2">
        <v>2.1000000000000001E-2</v>
      </c>
      <c r="M12" s="2" t="s">
        <v>14</v>
      </c>
      <c r="N12" s="2" t="s">
        <v>14</v>
      </c>
      <c r="O12" s="2" t="s">
        <v>14</v>
      </c>
      <c r="P12" s="2"/>
    </row>
    <row r="13" spans="1:16" ht="29" x14ac:dyDescent="0.35">
      <c r="A13" s="2">
        <v>12</v>
      </c>
      <c r="B13" s="2" t="s">
        <v>16</v>
      </c>
      <c r="C13" s="3" t="s">
        <v>43</v>
      </c>
      <c r="D13" s="11" t="s">
        <v>55</v>
      </c>
      <c r="E13" s="8" t="s">
        <v>49</v>
      </c>
      <c r="F13" s="2" t="s">
        <v>22</v>
      </c>
      <c r="G13" s="3" t="s">
        <v>56</v>
      </c>
      <c r="H13" s="5" t="s">
        <v>57</v>
      </c>
      <c r="I13" s="2" t="s">
        <v>22</v>
      </c>
      <c r="J13" s="3" t="s">
        <v>58</v>
      </c>
      <c r="K13" s="10" t="s">
        <v>22</v>
      </c>
      <c r="L13" s="2">
        <v>3.2000000000000001E-2</v>
      </c>
      <c r="M13" s="2" t="s">
        <v>14</v>
      </c>
      <c r="N13" s="2" t="s">
        <v>14</v>
      </c>
      <c r="O13" s="2" t="s">
        <v>14</v>
      </c>
      <c r="P13" s="2"/>
    </row>
    <row r="14" spans="1:16" ht="29" x14ac:dyDescent="0.35">
      <c r="A14" s="2">
        <v>13</v>
      </c>
      <c r="B14" s="2" t="s">
        <v>16</v>
      </c>
      <c r="C14" s="2" t="s">
        <v>184</v>
      </c>
      <c r="D14" s="5" t="s">
        <v>45</v>
      </c>
      <c r="E14" s="8" t="s">
        <v>49</v>
      </c>
      <c r="F14" s="2" t="s">
        <v>22</v>
      </c>
      <c r="G14" s="3" t="s">
        <v>52</v>
      </c>
      <c r="H14" s="5" t="s">
        <v>46</v>
      </c>
      <c r="I14" s="2" t="s">
        <v>22</v>
      </c>
      <c r="J14" s="3" t="s">
        <v>47</v>
      </c>
      <c r="K14" s="2" t="s">
        <v>22</v>
      </c>
      <c r="L14" s="2">
        <v>3.9E-2</v>
      </c>
      <c r="M14" s="2" t="s">
        <v>14</v>
      </c>
      <c r="N14" s="2" t="s">
        <v>14</v>
      </c>
      <c r="O14" s="2" t="s">
        <v>14</v>
      </c>
      <c r="P14" s="2"/>
    </row>
    <row r="15" spans="1:16" ht="29" x14ac:dyDescent="0.35">
      <c r="A15" s="2">
        <v>14</v>
      </c>
      <c r="B15" s="2" t="s">
        <v>16</v>
      </c>
      <c r="C15" s="2" t="s">
        <v>185</v>
      </c>
      <c r="D15" s="5" t="s">
        <v>186</v>
      </c>
      <c r="E15" s="8" t="s">
        <v>49</v>
      </c>
      <c r="F15" s="2" t="s">
        <v>22</v>
      </c>
      <c r="G15" s="3" t="s">
        <v>188</v>
      </c>
      <c r="H15" s="5" t="s">
        <v>191</v>
      </c>
      <c r="I15" s="2" t="s">
        <v>22</v>
      </c>
      <c r="J15" s="3" t="s">
        <v>192</v>
      </c>
      <c r="K15" s="2" t="s">
        <v>22</v>
      </c>
      <c r="L15" s="2">
        <v>2.87E-2</v>
      </c>
      <c r="M15" s="2" t="s">
        <v>14</v>
      </c>
      <c r="N15" s="2" t="s">
        <v>14</v>
      </c>
      <c r="O15" s="2" t="s">
        <v>14</v>
      </c>
      <c r="P15" s="2"/>
    </row>
    <row r="16" spans="1:16" ht="29" x14ac:dyDescent="0.35">
      <c r="A16" s="2">
        <v>15</v>
      </c>
      <c r="B16" s="2" t="s">
        <v>16</v>
      </c>
      <c r="C16" s="2" t="s">
        <v>187</v>
      </c>
      <c r="D16" s="5" t="s">
        <v>190</v>
      </c>
      <c r="E16" s="8" t="s">
        <v>49</v>
      </c>
      <c r="F16" s="2" t="s">
        <v>22</v>
      </c>
      <c r="G16" s="3" t="s">
        <v>189</v>
      </c>
      <c r="H16" s="5" t="s">
        <v>193</v>
      </c>
      <c r="I16" s="2" t="s">
        <v>22</v>
      </c>
      <c r="J16" s="3" t="s">
        <v>194</v>
      </c>
      <c r="K16" s="2" t="s">
        <v>22</v>
      </c>
      <c r="L16" s="2">
        <v>3.2000000000000001E-2</v>
      </c>
      <c r="M16" s="2" t="s">
        <v>14</v>
      </c>
      <c r="N16" s="2" t="s">
        <v>14</v>
      </c>
      <c r="O16" s="2" t="s">
        <v>14</v>
      </c>
      <c r="P16" s="2"/>
    </row>
    <row r="17" spans="1:16" ht="43.5" x14ac:dyDescent="0.35">
      <c r="A17" s="2">
        <v>16</v>
      </c>
      <c r="B17" s="2" t="s">
        <v>16</v>
      </c>
      <c r="C17" s="3" t="s">
        <v>202</v>
      </c>
      <c r="D17" s="5" t="s">
        <v>203</v>
      </c>
      <c r="E17" s="8" t="s">
        <v>59</v>
      </c>
      <c r="F17" s="2" t="s">
        <v>50</v>
      </c>
      <c r="G17" s="3" t="s">
        <v>60</v>
      </c>
      <c r="H17" s="5" t="s">
        <v>61</v>
      </c>
      <c r="I17" s="3" t="s">
        <v>62</v>
      </c>
      <c r="J17" s="3" t="s">
        <v>63</v>
      </c>
      <c r="K17" s="3" t="str">
        <f>" U = " &amp; ROUND(1-0.99999845,7)</f>
        <v xml:space="preserve"> U = 0.0000016</v>
      </c>
      <c r="L17" s="2">
        <v>2.9000000000000001E-2</v>
      </c>
      <c r="M17" s="2" t="s">
        <v>14</v>
      </c>
      <c r="N17" s="2" t="s">
        <v>14</v>
      </c>
      <c r="O17" s="2" t="s">
        <v>14</v>
      </c>
      <c r="P17" s="2"/>
    </row>
    <row r="18" spans="1:16" ht="16.5" x14ac:dyDescent="0.35">
      <c r="A18" s="2">
        <v>17</v>
      </c>
      <c r="B18" s="2" t="s">
        <v>16</v>
      </c>
      <c r="C18" s="3" t="s">
        <v>44</v>
      </c>
      <c r="D18" s="11" t="s">
        <v>64</v>
      </c>
      <c r="E18" s="8" t="s">
        <v>65</v>
      </c>
      <c r="F18" s="2" t="s">
        <v>22</v>
      </c>
      <c r="G18" s="3" t="s">
        <v>66</v>
      </c>
      <c r="H18" s="5" t="s">
        <v>70</v>
      </c>
      <c r="I18" s="2" t="s">
        <v>22</v>
      </c>
      <c r="J18" s="3" t="s">
        <v>71</v>
      </c>
      <c r="K18" s="10" t="s">
        <v>22</v>
      </c>
      <c r="L18" s="2">
        <v>2.4E-2</v>
      </c>
      <c r="M18" s="2" t="s">
        <v>14</v>
      </c>
      <c r="N18" s="2" t="s">
        <v>14</v>
      </c>
      <c r="O18" s="2" t="s">
        <v>14</v>
      </c>
      <c r="P18" s="2"/>
    </row>
    <row r="19" spans="1:16" ht="29" x14ac:dyDescent="0.35">
      <c r="A19" s="2">
        <v>18</v>
      </c>
      <c r="B19" s="2" t="s">
        <v>16</v>
      </c>
      <c r="C19" s="3" t="s">
        <v>44</v>
      </c>
      <c r="D19" s="11" t="s">
        <v>67</v>
      </c>
      <c r="E19" s="8" t="s">
        <v>68</v>
      </c>
      <c r="F19" s="2" t="s">
        <v>22</v>
      </c>
      <c r="G19" s="3" t="s">
        <v>69</v>
      </c>
      <c r="H19" s="5" t="s">
        <v>72</v>
      </c>
      <c r="I19" s="2" t="s">
        <v>22</v>
      </c>
      <c r="J19" s="3" t="s">
        <v>73</v>
      </c>
      <c r="K19" s="10" t="s">
        <v>22</v>
      </c>
      <c r="L19" s="2">
        <v>2.7E-2</v>
      </c>
      <c r="M19" s="2" t="s">
        <v>14</v>
      </c>
      <c r="N19" s="2" t="s">
        <v>14</v>
      </c>
      <c r="O19" s="2" t="s">
        <v>14</v>
      </c>
      <c r="P19" s="2"/>
    </row>
    <row r="20" spans="1:16" ht="29" x14ac:dyDescent="0.35">
      <c r="A20" s="2">
        <v>19</v>
      </c>
      <c r="B20" s="2" t="s">
        <v>16</v>
      </c>
      <c r="C20" s="3" t="s">
        <v>195</v>
      </c>
      <c r="D20" s="5" t="s">
        <v>196</v>
      </c>
      <c r="E20" s="8" t="s">
        <v>65</v>
      </c>
      <c r="F20" s="2" t="s">
        <v>22</v>
      </c>
      <c r="G20" s="3" t="s">
        <v>197</v>
      </c>
      <c r="H20" s="5" t="s">
        <v>198</v>
      </c>
      <c r="I20" s="2" t="s">
        <v>22</v>
      </c>
      <c r="J20" s="3" t="s">
        <v>199</v>
      </c>
      <c r="K20" s="10" t="s">
        <v>22</v>
      </c>
      <c r="L20" s="2">
        <v>4.8000000000000001E-2</v>
      </c>
      <c r="M20" s="2" t="s">
        <v>14</v>
      </c>
      <c r="N20" s="2" t="s">
        <v>14</v>
      </c>
      <c r="O20" s="2" t="s">
        <v>14</v>
      </c>
      <c r="P20" s="2"/>
    </row>
    <row r="21" spans="1:16" ht="58" x14ac:dyDescent="0.35">
      <c r="A21" s="2">
        <v>20</v>
      </c>
      <c r="B21" s="2" t="s">
        <v>16</v>
      </c>
      <c r="C21" s="3" t="s">
        <v>96</v>
      </c>
      <c r="D21" s="5" t="s">
        <v>98</v>
      </c>
      <c r="E21" s="8" t="s">
        <v>68</v>
      </c>
      <c r="F21" s="2" t="s">
        <v>22</v>
      </c>
      <c r="G21" s="3" t="s">
        <v>97</v>
      </c>
      <c r="H21" s="5" t="s">
        <v>99</v>
      </c>
      <c r="I21" s="2" t="s">
        <v>22</v>
      </c>
      <c r="J21" s="3" t="s">
        <v>100</v>
      </c>
      <c r="K21" s="2" t="s">
        <v>22</v>
      </c>
      <c r="L21" s="2">
        <v>6.7000000000000004E-2</v>
      </c>
      <c r="M21" s="2" t="s">
        <v>14</v>
      </c>
      <c r="N21" s="2" t="s">
        <v>14</v>
      </c>
      <c r="O21" s="2" t="s">
        <v>14</v>
      </c>
      <c r="P21" s="2"/>
    </row>
    <row r="22" spans="1:16" ht="29" x14ac:dyDescent="0.35">
      <c r="A22" s="2">
        <v>21</v>
      </c>
      <c r="B22" s="2" t="s">
        <v>16</v>
      </c>
      <c r="C22" s="3" t="s">
        <v>201</v>
      </c>
      <c r="D22" s="5" t="s">
        <v>200</v>
      </c>
      <c r="E22" s="8" t="s">
        <v>59</v>
      </c>
      <c r="F22" s="2" t="s">
        <v>50</v>
      </c>
      <c r="G22" s="3" t="s">
        <v>138</v>
      </c>
      <c r="H22" s="5" t="s">
        <v>204</v>
      </c>
      <c r="I22" s="2" t="s">
        <v>205</v>
      </c>
      <c r="J22" s="3" t="s">
        <v>206</v>
      </c>
      <c r="K22" s="3" t="str">
        <f>" U = " &amp; ROUND(1-0.99898916,7)</f>
        <v xml:space="preserve"> U = 0.0010108</v>
      </c>
      <c r="L22" s="2">
        <v>1.7000000000000001E-2</v>
      </c>
      <c r="M22" s="2" t="s">
        <v>14</v>
      </c>
      <c r="N22" s="2" t="s">
        <v>14</v>
      </c>
      <c r="O22" s="2" t="s">
        <v>14</v>
      </c>
      <c r="P22" s="2"/>
    </row>
    <row r="23" spans="1:16" ht="43.5" x14ac:dyDescent="0.35">
      <c r="A23" s="2">
        <v>22</v>
      </c>
      <c r="B23" s="2" t="s">
        <v>16</v>
      </c>
      <c r="C23" s="3" t="s">
        <v>153</v>
      </c>
      <c r="D23" s="5" t="s">
        <v>155</v>
      </c>
      <c r="E23" s="8" t="s">
        <v>161</v>
      </c>
      <c r="F23" s="2" t="s">
        <v>156</v>
      </c>
      <c r="G23" s="3" t="s">
        <v>157</v>
      </c>
      <c r="H23" s="5" t="s">
        <v>158</v>
      </c>
      <c r="I23" s="3" t="s">
        <v>159</v>
      </c>
      <c r="J23" s="3" t="s">
        <v>160</v>
      </c>
      <c r="K23" s="3" t="str">
        <f>" U = " &amp; ROUND(1-0.99999297,5) &amp; " UUx = " &amp; ROUND(1-0.98742592,5)</f>
        <v xml:space="preserve"> U = 0.00001 UUx = 0.01257</v>
      </c>
      <c r="L23" s="2">
        <v>2.4500000000000001E-2</v>
      </c>
      <c r="M23" s="2" t="s">
        <v>14</v>
      </c>
      <c r="N23" s="2" t="s">
        <v>14</v>
      </c>
      <c r="O23" s="2" t="s">
        <v>14</v>
      </c>
      <c r="P23" s="3" t="s">
        <v>154</v>
      </c>
    </row>
    <row r="24" spans="1:16" ht="43.5" x14ac:dyDescent="0.35">
      <c r="A24" s="2">
        <v>23</v>
      </c>
      <c r="B24" s="2" t="s">
        <v>16</v>
      </c>
      <c r="C24" s="3" t="s">
        <v>144</v>
      </c>
      <c r="D24" s="11" t="s">
        <v>141</v>
      </c>
      <c r="E24" s="7" t="s">
        <v>140</v>
      </c>
      <c r="F24" s="2" t="s">
        <v>83</v>
      </c>
      <c r="G24" s="2" t="s">
        <v>138</v>
      </c>
      <c r="H24" s="11" t="s">
        <v>139</v>
      </c>
      <c r="I24" s="2" t="s">
        <v>142</v>
      </c>
      <c r="J24" s="2" t="s">
        <v>143</v>
      </c>
      <c r="K24" s="3" t="str">
        <f>" UUx = " &amp; ROUND(1-0.7991,5)</f>
        <v xml:space="preserve"> UUx = 0.2009</v>
      </c>
      <c r="L24" s="2">
        <v>4.4699999999999997E-2</v>
      </c>
      <c r="M24" s="2" t="s">
        <v>14</v>
      </c>
      <c r="N24" s="2" t="s">
        <v>15</v>
      </c>
      <c r="O24" s="2" t="s">
        <v>14</v>
      </c>
      <c r="P24" s="3" t="s">
        <v>145</v>
      </c>
    </row>
    <row r="25" spans="1:16" ht="43.5" x14ac:dyDescent="0.35">
      <c r="A25" s="2">
        <v>24</v>
      </c>
      <c r="B25" s="2" t="s">
        <v>16</v>
      </c>
      <c r="C25" s="3" t="s">
        <v>229</v>
      </c>
      <c r="D25" s="5" t="s">
        <v>231</v>
      </c>
      <c r="E25" s="7" t="s">
        <v>232</v>
      </c>
      <c r="F25" s="2" t="s">
        <v>233</v>
      </c>
      <c r="G25" s="2" t="s">
        <v>234</v>
      </c>
      <c r="H25" s="5" t="s">
        <v>235</v>
      </c>
      <c r="I25" s="2" t="s">
        <v>236</v>
      </c>
      <c r="J25" s="3" t="s">
        <v>237</v>
      </c>
      <c r="K25" s="3" t="str">
        <f>" UUx = " &amp; ROUND(1-0,5) &amp; " UUy = " &amp; ROUND(1-0.004,5)</f>
        <v xml:space="preserve"> UUx = 1 UUy = 0.996</v>
      </c>
      <c r="L25" s="2">
        <v>0.77</v>
      </c>
      <c r="M25" s="2" t="s">
        <v>15</v>
      </c>
      <c r="N25" s="2" t="s">
        <v>15</v>
      </c>
      <c r="O25" s="2" t="s">
        <v>15</v>
      </c>
      <c r="P25" s="2"/>
    </row>
    <row r="26" spans="1:16" ht="43.5" x14ac:dyDescent="0.35">
      <c r="A26" s="2">
        <v>25</v>
      </c>
      <c r="B26" s="2" t="s">
        <v>16</v>
      </c>
      <c r="C26" s="3" t="s">
        <v>230</v>
      </c>
      <c r="D26" s="5" t="s">
        <v>238</v>
      </c>
      <c r="E26" s="13" t="s">
        <v>238</v>
      </c>
      <c r="F26" s="3" t="s">
        <v>239</v>
      </c>
      <c r="G26" s="5" t="s">
        <v>52</v>
      </c>
      <c r="H26" s="5" t="s">
        <v>240</v>
      </c>
      <c r="I26" s="3" t="s">
        <v>241</v>
      </c>
      <c r="J26" s="3" t="s">
        <v>242</v>
      </c>
      <c r="K26" s="3" t="s">
        <v>243</v>
      </c>
      <c r="L26" s="2">
        <v>0.88</v>
      </c>
      <c r="M26" s="2" t="s">
        <v>15</v>
      </c>
      <c r="N26" s="2" t="s">
        <v>15</v>
      </c>
      <c r="O26" s="2" t="s">
        <v>15</v>
      </c>
      <c r="P26" s="2"/>
    </row>
    <row r="27" spans="1:16" ht="16.5" x14ac:dyDescent="0.35">
      <c r="A27" s="2">
        <v>26</v>
      </c>
      <c r="B27" s="2" t="s">
        <v>20</v>
      </c>
      <c r="C27" s="2" t="s">
        <v>207</v>
      </c>
      <c r="D27" s="2" t="s">
        <v>210</v>
      </c>
      <c r="E27" s="7" t="s">
        <v>39</v>
      </c>
      <c r="F27" s="2" t="s">
        <v>22</v>
      </c>
      <c r="G27" s="3" t="s">
        <v>213</v>
      </c>
      <c r="H27" s="2" t="s">
        <v>216</v>
      </c>
      <c r="I27" s="2" t="s">
        <v>22</v>
      </c>
      <c r="J27" s="3" t="s">
        <v>217</v>
      </c>
      <c r="K27" s="2" t="s">
        <v>22</v>
      </c>
      <c r="L27" s="2">
        <v>3.1E-2</v>
      </c>
      <c r="M27" s="2" t="s">
        <v>14</v>
      </c>
      <c r="N27" s="2" t="s">
        <v>14</v>
      </c>
      <c r="O27" s="2" t="s">
        <v>14</v>
      </c>
      <c r="P27" s="2"/>
    </row>
    <row r="28" spans="1:16" ht="16.5" x14ac:dyDescent="0.35">
      <c r="A28" s="2">
        <v>27</v>
      </c>
      <c r="B28" s="2" t="s">
        <v>20</v>
      </c>
      <c r="C28" s="2" t="s">
        <v>208</v>
      </c>
      <c r="D28" s="2" t="s">
        <v>211</v>
      </c>
      <c r="E28" s="7" t="s">
        <v>39</v>
      </c>
      <c r="F28" s="2" t="s">
        <v>22</v>
      </c>
      <c r="G28" s="3" t="s">
        <v>214</v>
      </c>
      <c r="H28" s="2" t="s">
        <v>218</v>
      </c>
      <c r="I28" s="2" t="s">
        <v>22</v>
      </c>
      <c r="J28" s="3" t="s">
        <v>219</v>
      </c>
      <c r="K28" s="2" t="s">
        <v>22</v>
      </c>
      <c r="L28" s="2">
        <v>7.9000000000000001E-2</v>
      </c>
      <c r="M28" s="2" t="s">
        <v>14</v>
      </c>
      <c r="N28" s="2" t="s">
        <v>14</v>
      </c>
      <c r="O28" s="2" t="s">
        <v>14</v>
      </c>
      <c r="P28" s="2"/>
    </row>
    <row r="29" spans="1:16" ht="16.5" x14ac:dyDescent="0.35">
      <c r="A29" s="2">
        <v>28</v>
      </c>
      <c r="B29" s="2" t="s">
        <v>20</v>
      </c>
      <c r="C29" s="2" t="s">
        <v>208</v>
      </c>
      <c r="D29" s="2" t="s">
        <v>212</v>
      </c>
      <c r="E29" s="7" t="s">
        <v>39</v>
      </c>
      <c r="F29" s="2" t="s">
        <v>22</v>
      </c>
      <c r="G29" s="3" t="s">
        <v>215</v>
      </c>
      <c r="H29" s="2" t="s">
        <v>212</v>
      </c>
      <c r="I29" s="2" t="s">
        <v>22</v>
      </c>
      <c r="J29" s="3" t="s">
        <v>220</v>
      </c>
      <c r="K29" s="2" t="s">
        <v>22</v>
      </c>
      <c r="L29" s="2">
        <v>6.4000000000000001E-2</v>
      </c>
      <c r="M29" s="2" t="s">
        <v>14</v>
      </c>
      <c r="N29" s="2" t="s">
        <v>14</v>
      </c>
      <c r="O29" s="2" t="s">
        <v>14</v>
      </c>
      <c r="P29" s="2"/>
    </row>
    <row r="30" spans="1:16" ht="16.5" x14ac:dyDescent="0.35">
      <c r="A30" s="2">
        <v>29</v>
      </c>
      <c r="B30" s="2" t="s">
        <v>20</v>
      </c>
      <c r="C30" s="2" t="s">
        <v>209</v>
      </c>
      <c r="D30" s="2" t="s">
        <v>21</v>
      </c>
      <c r="E30" s="7" t="s">
        <v>39</v>
      </c>
      <c r="F30" s="2" t="s">
        <v>22</v>
      </c>
      <c r="G30" s="3" t="s">
        <v>17</v>
      </c>
      <c r="H30" s="2" t="s">
        <v>23</v>
      </c>
      <c r="I30" s="2" t="s">
        <v>22</v>
      </c>
      <c r="J30" s="3" t="s">
        <v>24</v>
      </c>
      <c r="K30" s="2" t="s">
        <v>22</v>
      </c>
      <c r="L30" s="2">
        <v>0.04</v>
      </c>
      <c r="M30" s="2" t="s">
        <v>14</v>
      </c>
      <c r="N30" s="2" t="s">
        <v>14</v>
      </c>
      <c r="O30" s="2" t="s">
        <v>14</v>
      </c>
      <c r="P30" s="2"/>
    </row>
    <row r="31" spans="1:16" ht="29" x14ac:dyDescent="0.35">
      <c r="A31" s="2">
        <v>30</v>
      </c>
      <c r="B31" s="6" t="s">
        <v>20</v>
      </c>
      <c r="C31" s="6" t="s">
        <v>222</v>
      </c>
      <c r="D31" s="12" t="s">
        <v>223</v>
      </c>
      <c r="E31" s="7" t="s">
        <v>224</v>
      </c>
      <c r="F31" s="6" t="s">
        <v>22</v>
      </c>
      <c r="G31" s="12" t="s">
        <v>225</v>
      </c>
      <c r="H31" s="12" t="s">
        <v>226</v>
      </c>
      <c r="I31" s="6" t="s">
        <v>22</v>
      </c>
      <c r="J31" s="12" t="s">
        <v>227</v>
      </c>
      <c r="K31" s="6" t="s">
        <v>22</v>
      </c>
      <c r="L31" s="6">
        <v>8.8999999999999996E-2</v>
      </c>
      <c r="M31" s="2" t="s">
        <v>14</v>
      </c>
      <c r="N31" s="2" t="s">
        <v>14</v>
      </c>
      <c r="O31" s="2" t="s">
        <v>14</v>
      </c>
    </row>
    <row r="32" spans="1:16" ht="74.5" x14ac:dyDescent="0.35">
      <c r="A32" s="2">
        <v>31</v>
      </c>
      <c r="B32" s="2" t="s">
        <v>20</v>
      </c>
      <c r="C32" s="3" t="s">
        <v>101</v>
      </c>
      <c r="D32" s="3" t="s">
        <v>102</v>
      </c>
      <c r="E32" s="7" t="s">
        <v>103</v>
      </c>
      <c r="F32" s="2" t="s">
        <v>50</v>
      </c>
      <c r="G32" s="2" t="s">
        <v>17</v>
      </c>
      <c r="H32" s="3" t="s">
        <v>104</v>
      </c>
      <c r="I32" s="2" t="s">
        <v>105</v>
      </c>
      <c r="J32" s="2" t="s">
        <v>106</v>
      </c>
      <c r="K32" s="3" t="str">
        <f>" U = " &amp; ROUND(1-1,2)</f>
        <v xml:space="preserve"> U = 0</v>
      </c>
      <c r="L32" s="2">
        <v>7.8E-2</v>
      </c>
      <c r="M32" s="2" t="s">
        <v>14</v>
      </c>
      <c r="N32" s="2" t="s">
        <v>14</v>
      </c>
      <c r="O32" s="2" t="s">
        <v>14</v>
      </c>
      <c r="P32" s="3" t="s">
        <v>116</v>
      </c>
    </row>
    <row r="33" spans="1:16" ht="29" x14ac:dyDescent="0.35">
      <c r="A33" s="2">
        <v>32</v>
      </c>
      <c r="B33" s="2" t="s">
        <v>20</v>
      </c>
      <c r="C33" s="3" t="s">
        <v>110</v>
      </c>
      <c r="D33" s="3" t="s">
        <v>107</v>
      </c>
      <c r="E33" s="7" t="s">
        <v>109</v>
      </c>
      <c r="F33" s="2" t="s">
        <v>22</v>
      </c>
      <c r="G33" s="3" t="s">
        <v>108</v>
      </c>
      <c r="H33" s="3" t="s">
        <v>111</v>
      </c>
      <c r="I33" s="2" t="s">
        <v>22</v>
      </c>
      <c r="J33" s="3" t="s">
        <v>112</v>
      </c>
      <c r="K33" s="2" t="s">
        <v>22</v>
      </c>
      <c r="L33" s="2">
        <v>0.113</v>
      </c>
      <c r="M33" s="2" t="s">
        <v>14</v>
      </c>
      <c r="N33" s="2" t="s">
        <v>14</v>
      </c>
      <c r="O33" s="2" t="s">
        <v>14</v>
      </c>
      <c r="P33" s="2"/>
    </row>
    <row r="34" spans="1:16" ht="16.5" x14ac:dyDescent="0.35">
      <c r="A34" s="2">
        <v>33</v>
      </c>
      <c r="B34" s="2" t="s">
        <v>25</v>
      </c>
      <c r="C34" s="2" t="s">
        <v>113</v>
      </c>
      <c r="D34" s="11" t="s">
        <v>114</v>
      </c>
      <c r="E34" s="8" t="s">
        <v>40</v>
      </c>
      <c r="F34" s="2" t="s">
        <v>22</v>
      </c>
      <c r="G34" s="2" t="s">
        <v>115</v>
      </c>
      <c r="H34" s="11" t="s">
        <v>117</v>
      </c>
      <c r="I34" s="2" t="s">
        <v>22</v>
      </c>
      <c r="J34" s="2" t="s">
        <v>118</v>
      </c>
      <c r="K34" s="2" t="s">
        <v>22</v>
      </c>
      <c r="L34" s="2">
        <v>3.1E-2</v>
      </c>
      <c r="M34" s="2" t="s">
        <v>14</v>
      </c>
      <c r="N34" s="2" t="s">
        <v>14</v>
      </c>
      <c r="O34" s="2" t="s">
        <v>14</v>
      </c>
      <c r="P34" s="2"/>
    </row>
    <row r="35" spans="1:16" ht="29" x14ac:dyDescent="0.35">
      <c r="A35" s="2">
        <v>34</v>
      </c>
      <c r="B35" s="2" t="s">
        <v>25</v>
      </c>
      <c r="C35" s="2" t="s">
        <v>119</v>
      </c>
      <c r="D35" s="11" t="s">
        <v>120</v>
      </c>
      <c r="E35" s="8" t="s">
        <v>40</v>
      </c>
      <c r="F35" s="2" t="s">
        <v>22</v>
      </c>
      <c r="G35" s="2" t="s">
        <v>121</v>
      </c>
      <c r="H35" s="5" t="s">
        <v>122</v>
      </c>
      <c r="I35" s="2" t="s">
        <v>22</v>
      </c>
      <c r="J35" s="3" t="s">
        <v>123</v>
      </c>
      <c r="K35" s="2" t="s">
        <v>22</v>
      </c>
      <c r="L35" s="2">
        <v>4.4999999999999998E-2</v>
      </c>
      <c r="M35" s="2" t="s">
        <v>14</v>
      </c>
      <c r="N35" s="2" t="s">
        <v>14</v>
      </c>
      <c r="O35" s="2" t="s">
        <v>14</v>
      </c>
      <c r="P35" s="2"/>
    </row>
    <row r="36" spans="1:16" ht="29" x14ac:dyDescent="0.35">
      <c r="A36" s="2">
        <v>35</v>
      </c>
      <c r="B36" s="2" t="s">
        <v>25</v>
      </c>
      <c r="C36" s="3" t="s">
        <v>221</v>
      </c>
      <c r="D36" s="5" t="s">
        <v>36</v>
      </c>
      <c r="E36" s="8" t="s">
        <v>40</v>
      </c>
      <c r="F36" s="2" t="s">
        <v>22</v>
      </c>
      <c r="G36" s="3" t="s">
        <v>17</v>
      </c>
      <c r="H36" s="5" t="s">
        <v>26</v>
      </c>
      <c r="I36" s="2" t="s">
        <v>22</v>
      </c>
      <c r="J36" s="3" t="s">
        <v>27</v>
      </c>
      <c r="K36" s="2" t="s">
        <v>22</v>
      </c>
      <c r="L36" s="2">
        <v>3.3000000000000002E-2</v>
      </c>
      <c r="M36" s="2" t="s">
        <v>14</v>
      </c>
      <c r="N36" s="2" t="s">
        <v>14</v>
      </c>
      <c r="O36" s="6" t="s">
        <v>14</v>
      </c>
      <c r="P36" s="2"/>
    </row>
    <row r="37" spans="1:16" ht="72.5" x14ac:dyDescent="0.35">
      <c r="A37" s="2">
        <v>36</v>
      </c>
      <c r="B37" s="2" t="s">
        <v>25</v>
      </c>
      <c r="C37" s="3" t="s">
        <v>124</v>
      </c>
      <c r="D37" s="5" t="s">
        <v>125</v>
      </c>
      <c r="E37" s="8" t="s">
        <v>126</v>
      </c>
      <c r="F37" s="2" t="s">
        <v>50</v>
      </c>
      <c r="G37" s="3" t="s">
        <v>127</v>
      </c>
      <c r="H37" s="5" t="s">
        <v>128</v>
      </c>
      <c r="I37" s="2" t="s">
        <v>129</v>
      </c>
      <c r="J37" s="3" t="s">
        <v>130</v>
      </c>
      <c r="K37" s="3" t="str">
        <f>" U = " &amp; ROUND(1-0.99998307,5)</f>
        <v xml:space="preserve"> U = 0.00002</v>
      </c>
      <c r="L37" s="2">
        <v>2.1999999999999999E-2</v>
      </c>
      <c r="M37" s="2" t="s">
        <v>14</v>
      </c>
      <c r="N37" s="2" t="s">
        <v>14</v>
      </c>
      <c r="O37" s="2" t="s">
        <v>14</v>
      </c>
      <c r="P37" s="3" t="s">
        <v>131</v>
      </c>
    </row>
    <row r="38" spans="1:16" ht="43.5" x14ac:dyDescent="0.35">
      <c r="A38" s="2">
        <v>37</v>
      </c>
      <c r="B38" s="3" t="s">
        <v>25</v>
      </c>
      <c r="C38" s="3" t="s">
        <v>132</v>
      </c>
      <c r="D38" s="5" t="s">
        <v>133</v>
      </c>
      <c r="E38" s="8" t="s">
        <v>134</v>
      </c>
      <c r="F38" s="2" t="s">
        <v>22</v>
      </c>
      <c r="G38" s="3" t="s">
        <v>135</v>
      </c>
      <c r="H38" s="5" t="s">
        <v>136</v>
      </c>
      <c r="I38" s="2" t="s">
        <v>22</v>
      </c>
      <c r="J38" s="3" t="s">
        <v>137</v>
      </c>
      <c r="K38" s="2" t="s">
        <v>22</v>
      </c>
      <c r="L38" s="2">
        <v>0.9204</v>
      </c>
      <c r="M38" s="2" t="s">
        <v>15</v>
      </c>
      <c r="N38" s="2" t="s">
        <v>15</v>
      </c>
      <c r="O38" s="2" t="s">
        <v>15</v>
      </c>
      <c r="P38" s="3" t="s">
        <v>228</v>
      </c>
    </row>
    <row r="39" spans="1:16" x14ac:dyDescent="0.35">
      <c r="A39" s="2"/>
      <c r="B39" s="2"/>
      <c r="C39" s="3"/>
      <c r="D39" s="11"/>
      <c r="E39" s="7"/>
      <c r="F39" s="2"/>
      <c r="G39" s="2"/>
      <c r="H39" s="11"/>
      <c r="I39" s="2"/>
      <c r="J39" s="2"/>
      <c r="K39" s="3"/>
      <c r="L39" s="2"/>
      <c r="M39" s="2"/>
      <c r="N39" s="2"/>
      <c r="O39" s="2"/>
      <c r="P39" s="3"/>
    </row>
    <row r="40" spans="1:16" x14ac:dyDescent="0.35">
      <c r="A40" s="2"/>
      <c r="B40" s="2"/>
      <c r="C40" s="3"/>
      <c r="D40" s="5"/>
      <c r="E40" s="8"/>
      <c r="F40" s="2"/>
      <c r="G40" s="3"/>
      <c r="H40" s="5"/>
      <c r="I40" s="2"/>
      <c r="J40" s="3"/>
      <c r="K40" s="2"/>
      <c r="L40" s="2"/>
      <c r="M40" s="2"/>
      <c r="N40" s="2"/>
      <c r="O40" s="2"/>
      <c r="P40" s="2"/>
    </row>
    <row r="41" spans="1:16" x14ac:dyDescent="0.35">
      <c r="A41" s="2"/>
      <c r="B41" s="2"/>
      <c r="C41" s="3"/>
      <c r="D41" s="5"/>
      <c r="E41" s="8"/>
      <c r="F41" s="2"/>
      <c r="G41" s="3"/>
      <c r="H41" s="5"/>
      <c r="I41" s="3"/>
      <c r="J41" s="3"/>
      <c r="K41" s="3"/>
      <c r="L41" s="2"/>
      <c r="M41" s="2"/>
      <c r="N41" s="2"/>
      <c r="O41" s="2"/>
      <c r="P41" s="3"/>
    </row>
    <row r="42" spans="1:16" x14ac:dyDescent="0.35">
      <c r="A42" s="2"/>
      <c r="B42" s="2"/>
      <c r="C42" s="2"/>
      <c r="D42" s="2"/>
      <c r="E42" s="7"/>
      <c r="F42" s="2"/>
      <c r="G42" s="3"/>
      <c r="H42" s="2"/>
      <c r="I42" s="2"/>
      <c r="J42" s="3"/>
      <c r="K42" s="2"/>
      <c r="L42" s="2"/>
      <c r="M42" s="2"/>
      <c r="N42" s="2"/>
      <c r="O42" s="2"/>
      <c r="P42" s="2"/>
    </row>
    <row r="43" spans="1:16" x14ac:dyDescent="0.35">
      <c r="A43" s="2"/>
      <c r="B43" s="2"/>
      <c r="C43" s="3"/>
      <c r="D43" s="3"/>
      <c r="E43" s="7"/>
      <c r="F43" s="2"/>
      <c r="G43" s="2"/>
      <c r="H43" s="3"/>
      <c r="I43" s="2"/>
      <c r="J43" s="2"/>
      <c r="K43" s="3"/>
      <c r="L43" s="2"/>
      <c r="M43" s="2"/>
      <c r="N43" s="2"/>
      <c r="O43" s="2"/>
      <c r="P43" s="3"/>
    </row>
    <row r="44" spans="1:16" x14ac:dyDescent="0.35">
      <c r="A44" s="2"/>
      <c r="B44" s="2"/>
      <c r="C44" s="3"/>
      <c r="D44" s="3"/>
      <c r="E44" s="7"/>
      <c r="F44" s="2"/>
      <c r="G44" s="3"/>
      <c r="H44" s="3"/>
      <c r="I44" s="2"/>
      <c r="J44" s="3"/>
      <c r="K44" s="2"/>
      <c r="L44" s="2"/>
      <c r="M44" s="2"/>
      <c r="N44" s="2"/>
      <c r="O44" s="2"/>
      <c r="P44" s="2"/>
    </row>
    <row r="45" spans="1:16" x14ac:dyDescent="0.35">
      <c r="A45" s="2"/>
      <c r="B45" s="2"/>
      <c r="C45" s="2"/>
      <c r="D45" s="11"/>
      <c r="E45" s="8"/>
      <c r="F45" s="2"/>
      <c r="G45" s="2"/>
      <c r="H45" s="11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/>
      <c r="B46" s="2"/>
      <c r="C46" s="2"/>
      <c r="D46" s="11"/>
      <c r="E46" s="8"/>
      <c r="F46" s="2"/>
      <c r="G46" s="2"/>
      <c r="H46" s="5"/>
      <c r="I46" s="2"/>
      <c r="J46" s="3"/>
      <c r="K46" s="2"/>
      <c r="L46" s="2"/>
      <c r="M46" s="2"/>
      <c r="N46" s="2"/>
      <c r="O46" s="2"/>
      <c r="P46" s="2"/>
    </row>
    <row r="47" spans="1:16" x14ac:dyDescent="0.35">
      <c r="A47" s="2"/>
      <c r="B47" s="2"/>
      <c r="C47" s="3"/>
      <c r="D47" s="5"/>
      <c r="E47" s="8"/>
      <c r="F47" s="2"/>
      <c r="G47" s="3"/>
      <c r="H47" s="5"/>
      <c r="I47" s="2"/>
      <c r="J47" s="3"/>
      <c r="K47" s="2"/>
      <c r="L47" s="2"/>
      <c r="M47" s="2"/>
      <c r="N47" s="2"/>
      <c r="O47" s="6"/>
      <c r="P47" s="2"/>
    </row>
    <row r="48" spans="1:16" x14ac:dyDescent="0.35">
      <c r="A48" s="2"/>
      <c r="B48" s="2"/>
      <c r="C48" s="3"/>
      <c r="D48" s="5"/>
      <c r="E48" s="8"/>
      <c r="F48" s="2"/>
      <c r="G48" s="3"/>
      <c r="H48" s="5"/>
      <c r="I48" s="2"/>
      <c r="J48" s="3"/>
      <c r="K48" s="3"/>
      <c r="L48" s="2"/>
      <c r="M48" s="2"/>
      <c r="N48" s="2"/>
      <c r="O48" s="2"/>
      <c r="P48" s="3"/>
    </row>
    <row r="49" spans="1:16" x14ac:dyDescent="0.35">
      <c r="A49" s="2"/>
      <c r="B49" s="3"/>
      <c r="C49" s="3"/>
      <c r="D49" s="5"/>
      <c r="E49" s="8"/>
      <c r="F49" s="2"/>
      <c r="G49" s="3"/>
      <c r="H49" s="5"/>
      <c r="I49" s="2"/>
      <c r="J49" s="3"/>
      <c r="K49" s="2"/>
      <c r="L49" s="2"/>
      <c r="M49" s="2"/>
      <c r="N49" s="2"/>
      <c r="O49" s="2"/>
      <c r="P49" s="2"/>
    </row>
    <row r="50" spans="1:16" x14ac:dyDescent="0.35">
      <c r="A50" s="2"/>
      <c r="B50" s="2"/>
      <c r="C50" s="3"/>
      <c r="D50" s="11"/>
      <c r="E50" s="7"/>
      <c r="F50" s="2"/>
      <c r="G50" s="2"/>
      <c r="H50" s="11"/>
      <c r="I50" s="2"/>
      <c r="J50" s="2"/>
      <c r="K50" s="3"/>
      <c r="L50" s="2"/>
      <c r="M50" s="2"/>
      <c r="N50" s="2"/>
      <c r="O50" s="2"/>
      <c r="P50" s="3"/>
    </row>
    <row r="51" spans="1:16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</sheetData>
  <conditionalFormatting sqref="M2:O92">
    <cfRule type="containsText" dxfId="3" priority="1" operator="containsText" text="No">
      <formula>NOT(ISERROR(SEARCH("No",M2)))</formula>
    </cfRule>
    <cfRule type="containsText" dxfId="2" priority="2" operator="containsText" text="Yes">
      <formula>NOT(ISERROR(SEARCH("Yes",M2)))</formula>
    </cfRule>
  </conditionalFormatting>
  <conditionalFormatting sqref="O48:O92">
    <cfRule type="containsText" dxfId="1" priority="31" operator="containsText" text="No">
      <formula>NOT(ISERROR(SEARCH("No",O48)))</formula>
    </cfRule>
    <cfRule type="containsText" dxfId="0" priority="32" operator="containsText" text="Yes">
      <formula>NOT(ISERROR(SEARCH("Yes",O48)))</formula>
    </cfRule>
  </conditionalFormatting>
  <dataValidations count="1">
    <dataValidation type="list" allowBlank="1" showInputMessage="1" showErrorMessage="1" sqref="M2:O92" xr:uid="{3DDB22A1-7FAB-4F90-85DD-98192FAD95B3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Crowley</dc:creator>
  <cp:lastModifiedBy>James Crowley</cp:lastModifiedBy>
  <dcterms:created xsi:type="dcterms:W3CDTF">2026-03-11T16:18:18Z</dcterms:created>
  <dcterms:modified xsi:type="dcterms:W3CDTF">2026-03-25T20:44:28Z</dcterms:modified>
</cp:coreProperties>
</file>